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Gijos</t>
        </is>
      </c>
    </row>
    <row r="2">
      <c r="A2" s="1" t="inlineStr">
        <is>
          <t>URL</t>
        </is>
      </c>
      <c r="B2" s="2">
        <f>HYPERLINK("https://particle-agency.muckrack.com/coverage-reports/gAhD/edit/")</f>
        <v/>
      </c>
    </row>
    <row r="3">
      <c r="A3" s="1" t="inlineStr">
        <is>
          <t>Exported On</t>
        </is>
      </c>
      <c r="B3" s="6" t="n">
        <v>45980</v>
      </c>
    </row>
    <row r="4">
      <c r="A4" s="1" t="inlineStr">
        <is>
          <t>Generated By</t>
        </is>
      </c>
      <c r="B4" s="2" t="inlineStr">
        <is>
          <t>Ieva Mackeviciute</t>
        </is>
      </c>
    </row>
    <row r="6">
      <c r="A6" s="1" t="inlineStr">
        <is>
          <t>Links</t>
        </is>
      </c>
      <c r="B6" s="2" t="n">
        <v>39</v>
      </c>
    </row>
    <row r="7">
      <c r="A7" s="1" t="inlineStr">
        <is>
          <t>Total Engagement</t>
        </is>
      </c>
      <c r="B7" s="2" t="n">
        <v>64</v>
      </c>
    </row>
    <row r="8">
      <c r="A8" s="1" t="inlineStr">
        <is>
          <t>Average Engagement</t>
        </is>
      </c>
      <c r="B8" s="2" t="n">
        <v>1</v>
      </c>
    </row>
    <row r="9">
      <c r="A9" s="1" t="inlineStr">
        <is>
          <t>Total UVM (Insights by Similarweb)</t>
        </is>
      </c>
      <c r="B9" s="2" t="n">
        <v>60115188</v>
      </c>
    </row>
    <row r="10">
      <c r="A10" s="1" t="inlineStr">
        <is>
          <t>Total AVE</t>
        </is>
      </c>
      <c r="B10" s="7" t="n">
        <v>477476.74</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10 mln. eurų vertės vandenilio gamykla Vilniuje iškils 2026-ųjų pirmąjį pusmetį</t>
        </is>
      </c>
      <c r="B2" s="2">
        <f>HYPERLINK("https://www.lrt.lt/naujienos/verslas/4/2724194/10-mln-euru-vertes-vandenilio-gamykla-vilniuje-iskils-2026-uju-pirmaji-pusmeti")</f>
        <v/>
      </c>
      <c r="C2" s="2" t="inlineStr"/>
      <c r="D2" s="2" t="inlineStr">
        <is>
          <t>Lithuanian National Radio and Television (LRT)</t>
        </is>
      </c>
      <c r="E2" s="8" t="n">
        <v>45954.23711805556</v>
      </c>
      <c r="F2" s="2" t="inlineStr">
        <is>
          <t>BNS
 2025.10.24 12:12
00:00
 |
00:00
 Didžiausia Lietuvoje centralizuotos šilumos tiekimo įmonė „Miesto gijos“ (buvę Vilniaus šilumos tinklai) gavo statybos leidimą 10 mln. eurų</t>
        </is>
      </c>
      <c r="G2" s="2" t="n">
        <v>1580314</v>
      </c>
      <c r="H2" s="2" t="n"/>
      <c r="I2" s="2" t="n"/>
      <c r="J2" s="2" t="n"/>
      <c r="K2" s="2" t="n"/>
      <c r="L2" s="2" t="inlineStr">
        <is>
          <t>Vilnius</t>
        </is>
      </c>
      <c r="M2" s="2" t="inlineStr">
        <is>
          <t>Vilniaus Apskritis</t>
        </is>
      </c>
      <c r="N2" s="2" t="inlineStr">
        <is>
          <t>Lithuania</t>
        </is>
      </c>
      <c r="O2" s="7" t="n">
        <v>14617.9</v>
      </c>
      <c r="P2" s="2" t="n">
        <v>68</v>
      </c>
      <c r="Q2" s="2" t="n"/>
    </row>
    <row r="3">
      <c r="A3" s="2" t="inlineStr">
        <is>
          <t>Gautas statybų leidimas žaliojo vandenilio gamyklai Vilniuje</t>
        </is>
      </c>
      <c r="B3" s="2">
        <f>HYPERLINK("https://www.15min.lt/verslas/naujiena/energetika/gautas-statybu-leidimas-zaliojo-vandenilio-gamyklai-vilniuje-664-2550278")</f>
        <v/>
      </c>
      <c r="C3" s="2" t="inlineStr"/>
      <c r="D3" s="2" t="inlineStr">
        <is>
          <t>15min</t>
        </is>
      </c>
      <c r="E3" s="8" t="n">
        <v>45954.19690972222</v>
      </c>
      <c r="F3" s="2" t="inlineStr">
        <is>
          <t>Projektą įgyvendinanti bendrovė „Miesto gijos“ (buvę Vilniaus šilumos tinklai) kartu su generaliniu rangovu „MT Group“ jau rengiasi statybos darbams.</t>
        </is>
      </c>
      <c r="G3" s="2" t="n">
        <v>1435066</v>
      </c>
      <c r="H3" s="2" t="n"/>
      <c r="I3" s="2" t="n"/>
      <c r="J3" s="2" t="n"/>
      <c r="K3" s="2" t="n"/>
      <c r="L3" s="2" t="inlineStr">
        <is>
          <t>Vilnius</t>
        </is>
      </c>
      <c r="M3" s="2" t="inlineStr">
        <is>
          <t>Vilniaus Apskritis</t>
        </is>
      </c>
      <c r="N3" s="2" t="inlineStr">
        <is>
          <t>Lithuania</t>
        </is>
      </c>
      <c r="O3" s="7" t="n">
        <v>13274.36</v>
      </c>
      <c r="P3" s="2" t="n">
        <v>73</v>
      </c>
      <c r="Q3" s="2" t="n"/>
    </row>
    <row r="4">
      <c r="A4" s="2" t="inlineStr">
        <is>
          <t>Vilniuje kviečia į išskirtinį renginį: ko tikėtis ir ko, jūsų laimei, čia tikrai nebus</t>
        </is>
      </c>
      <c r="B4" s="2">
        <f>HYPERLINK("https://www.delfi.lt/login/technologijos/vilniuje-kviecia-i-isskirtini-rengini-ko-tiketis-ir-ko-jusu-laimei-cia-tikrai-nebus-120161794")</f>
        <v/>
      </c>
      <c r="C4" s="2" t="inlineStr">
        <is>
          <t>Tomas Grikinis</t>
        </is>
      </c>
      <c r="D4" s="2" t="inlineStr">
        <is>
          <t>DELFI Lithuania</t>
        </is>
      </c>
      <c r="E4" s="8" t="n">
        <v>45952.14954861111</v>
      </c>
      <c r="F4" s="2" t="inlineStr">
        <is>
          <t>Viktorija Tauraitė, Valstybinės mokesčių inspekcijos (VMI) Informacinių išteklių valdymo departamento vadovė Rasa Karosienė, VMI Operatyvios kontrolės departamento vadovas Rolandas Puncevičius, D365 direktorius Einius Mikalauskas, AB „Miesto Gijos“ technologijų vadovė Diana Gold, „Surfshark“ CSO Tomas</t>
        </is>
      </c>
      <c r="G4" s="2" t="n">
        <v>1849147</v>
      </c>
      <c r="H4" s="2" t="n">
        <v>0</v>
      </c>
      <c r="I4" s="2" t="n">
        <v>0</v>
      </c>
      <c r="J4" s="2" t="n">
        <v>0</v>
      </c>
      <c r="K4" s="2" t="n"/>
      <c r="L4" s="2" t="inlineStr">
        <is>
          <t>Vilnius</t>
        </is>
      </c>
      <c r="M4" s="2" t="inlineStr"/>
      <c r="N4" s="2" t="inlineStr">
        <is>
          <t>Lithuania</t>
        </is>
      </c>
      <c r="O4" s="7" t="n">
        <v>9245.74</v>
      </c>
      <c r="P4" s="2" t="n">
        <v>81</v>
      </c>
      <c r="Q4" s="2" t="n"/>
    </row>
    <row r="5">
      <c r="A5" s="2" t="inlineStr">
        <is>
          <t>Pirmoji „Tikodentos“ pergalė ir pralaimėjimo skonį pajutusi Šilalė</t>
        </is>
      </c>
      <c r="B5" s="2">
        <f>HYPERLINK("https://www.lrytas.lt/sportas/krepsinis/2025/10/18/news/pirmoji-tikodentos-pergale-ir-pralaimejimo-skoni-pajutusi-silale-39959517")</f>
        <v/>
      </c>
      <c r="C5" s="2" t="inlineStr"/>
      <c r="D5" s="2" t="inlineStr">
        <is>
          <t>lrytas.lt</t>
        </is>
      </c>
      <c r="E5" s="8" t="n">
        <v>45948.109375</v>
      </c>
      <c r="F5" s="2" t="inlineStr">
        <is>
          <t>/0) 111:88 Prienų „SC-Pauresta“ (1/1)
„Klaipėdos universitetas-KKM“ (0/2) 85:110 Klaipėdos „VKMM-Neptūnas“ (2/0)
Šiaulių KA „Saulė-ŠSG“ (1/1) 97:100 Pakruojo „SC-Lygumų ŽŪB“ (2/0)
Vilniaus KM (0/2) 71:91 „Trakai-Trakų SC“ (2/0)
Anykščių „KKSC-Elmis“ (2/0) 76:73 Ukmergės „SC-Jusema“ (1/1)
LKSK „Gijos</t>
        </is>
      </c>
      <c r="G5" s="2" t="n">
        <v>1048872</v>
      </c>
      <c r="H5" s="2" t="n">
        <v>0</v>
      </c>
      <c r="I5" s="2" t="n">
        <v>0</v>
      </c>
      <c r="J5" s="2" t="n">
        <v>0</v>
      </c>
      <c r="K5" s="2" t="n"/>
      <c r="L5" s="2" t="inlineStr"/>
      <c r="M5" s="2" t="inlineStr"/>
      <c r="N5" s="2" t="inlineStr">
        <is>
          <t>Lithuania</t>
        </is>
      </c>
      <c r="O5" s="7" t="n">
        <v>9702.07</v>
      </c>
      <c r="P5" s="2" t="n">
        <v>70</v>
      </c>
      <c r="Q5" s="2" t="n"/>
    </row>
    <row r="6">
      <c r="A6" s="2" t="inlineStr">
        <is>
          <t>Vienas klaidingas sprendimas – milijonai nuostolių: didžiausios IT vadovų pamokos</t>
        </is>
      </c>
      <c r="B6" s="2">
        <f>HYPERLINK("https://www.delfi.lt/login/technologijos/naujienos/vienas-klaidingas-sprendimas-milijonai-nuostoliu-didziausios-it-vadovu-pamokos-120161004")</f>
        <v/>
      </c>
      <c r="C6" s="2" t="inlineStr">
        <is>
          <t>Tomas Grikinis</t>
        </is>
      </c>
      <c r="D6" s="2" t="inlineStr">
        <is>
          <t>DELFI Lithuania</t>
        </is>
      </c>
      <c r="E6" s="8" t="n">
        <v>45945.31150462963</v>
      </c>
      <c r="F6" s="2" t="inlineStr">
        <is>
          <t>AB „Miesto Gijos“ technologijų vadovė ir CIO.lt narė Diana Gold ateis su pranešimu „Multitaskinimo“ mitai ir realybė: IT akrobatika išlaviruoti tarp prioritetų ir projektų spaudimo vienu metu“, o „Surfshark“ pardavimų vadovas Tomas Stamulis kalbės apie „Zero Trust“ ir kibernetinį atsparumą bei kaip apsisaugoti</t>
        </is>
      </c>
      <c r="G6" s="2" t="n">
        <v>1849147</v>
      </c>
      <c r="H6" s="2" t="n">
        <v>0</v>
      </c>
      <c r="I6" s="2" t="n">
        <v>0</v>
      </c>
      <c r="J6" s="2" t="n">
        <v>34</v>
      </c>
      <c r="K6" s="2" t="n"/>
      <c r="L6" s="2" t="inlineStr">
        <is>
          <t>Vilnius</t>
        </is>
      </c>
      <c r="M6" s="2" t="inlineStr"/>
      <c r="N6" s="2" t="inlineStr">
        <is>
          <t>Lithuania</t>
        </is>
      </c>
      <c r="O6" s="7" t="n">
        <v>9245.74</v>
      </c>
      <c r="P6" s="2" t="n">
        <v>81</v>
      </c>
      <c r="Q6" s="2" t="n"/>
    </row>
    <row r="7">
      <c r="A7" s="2" t="inlineStr">
        <is>
          <t>Festivalis „Vilniaus mechanizmai“ kviečia išgirsti miestą</t>
        </is>
      </c>
      <c r="B7" s="2">
        <f>HYPERLINK("https://www.delfi.lt/kultura/renginiai/festivalis-vilniaus-mechanizmai-kviecia-isgirsti-miesta-120158042")</f>
        <v/>
      </c>
      <c r="C7" s="2" t="inlineStr">
        <is>
          <t>Parengė SEMIHUMAN</t>
        </is>
      </c>
      <c r="D7" s="2" t="inlineStr">
        <is>
          <t>DELFI Lithuania</t>
        </is>
      </c>
      <c r="E7" s="8" t="n">
        <v>45937.17047453704</v>
      </c>
      <c r="F7" s="2" t="inlineStr">
        <is>
          <t>Audioprojekcijos seansai vyks trijose Vilniaus industrinėse vietose – Antakalnio troleibusų parke, termofikacinėje elektrinėje Nr. 2 („Gijos“) ir Vilniaus trečiojoje termofikacinėje elektrinėje („Ignitis gamyba“).</t>
        </is>
      </c>
      <c r="G7" s="2" t="n">
        <v>1849147</v>
      </c>
      <c r="H7" s="2" t="n">
        <v>0</v>
      </c>
      <c r="I7" s="2" t="n">
        <v>0</v>
      </c>
      <c r="J7" s="2" t="n">
        <v>0</v>
      </c>
      <c r="K7" s="2" t="n"/>
      <c r="L7" s="2" t="inlineStr">
        <is>
          <t>Vilnius</t>
        </is>
      </c>
      <c r="M7" s="2" t="inlineStr"/>
      <c r="N7" s="2" t="inlineStr">
        <is>
          <t>Lithuania</t>
        </is>
      </c>
      <c r="O7" s="7" t="n">
        <v>9245.74</v>
      </c>
      <c r="P7" s="2" t="n">
        <v>81</v>
      </c>
      <c r="Q7" s="2" t="n"/>
    </row>
    <row r="8">
      <c r="A8" s="2" t="inlineStr">
        <is>
          <t>Первый день учений "Щит Витиса": стрелки охраняли учреждения столицы до полуночи</t>
        </is>
      </c>
      <c r="B8" s="2">
        <f>HYPERLINK("https://www.lrt.lt/ru/novosti/17/2704137/pervyi-den-uchenii-shchit-vitisa-strelki-okhraniali-uchrezhdeniia-stolitsy-do-polunochi")</f>
        <v/>
      </c>
      <c r="C8" s="2" t="inlineStr"/>
      <c r="D8" s="2" t="inlineStr">
        <is>
          <t>Lithuanian National Radio and Television (LRT)</t>
        </is>
      </c>
      <c r="E8" s="8" t="n">
        <v>45937.1</v>
      </c>
      <c r="F8" s="2" t="inlineStr">
        <is>
          <t>Вечером в понедельник бойцы Союза стрелков охраняли территории муниципальных предприятий „Grinda“, „Susisiekimo paslaugos“, „Vilniaus vandenys“ и „Miesto gijos“. К последним двум объектам также были доставлены средства контрмобильности.</t>
        </is>
      </c>
      <c r="G8" s="2" t="n">
        <v>1580314</v>
      </c>
      <c r="H8" s="2" t="n"/>
      <c r="I8" s="2" t="n"/>
      <c r="J8" s="2" t="n"/>
      <c r="K8" s="2" t="n"/>
      <c r="L8" s="2" t="inlineStr">
        <is>
          <t>Vilnius</t>
        </is>
      </c>
      <c r="M8" s="2" t="inlineStr">
        <is>
          <t>Vilniaus Apskritis</t>
        </is>
      </c>
      <c r="N8" s="2" t="inlineStr">
        <is>
          <t>Lithuania</t>
        </is>
      </c>
      <c r="O8" s="7" t="n">
        <v>14617.9</v>
      </c>
      <c r="P8" s="2" t="n">
        <v>68</v>
      </c>
      <c r="Q8" s="2" t="n"/>
    </row>
    <row r="9">
      <c r="A9" s="2" t="inlineStr">
        <is>
          <t>Pirmoji „Vyčio skliauto“ pratybų diena: šauliai iki vidurnakčio saugos sostinės įstaigas</t>
        </is>
      </c>
      <c r="B9" s="2">
        <f>HYPERLINK("https://www.lrt.lt/naujienos/fotogalerijos/685/2703934/pirmoji-vycio-skliauto-pratybu-diena-sauliai-iki-vidurnakcio-saugos-sostines-istaigas")</f>
        <v/>
      </c>
      <c r="C9" s="2" t="inlineStr"/>
      <c r="D9" s="2" t="inlineStr">
        <is>
          <t>Lithuanian National Radio and Television (LRT)</t>
        </is>
      </c>
      <c r="E9" s="8" t="n">
        <v>45936.62847222222</v>
      </c>
      <c r="F9" s="2" t="inlineStr">
        <is>
          <t>LRT.lt
 2025.10.06 22:05
Lietuvoje prasidėjus didžiausioms mobilizacinės sistemos patikrinimo pratyboms „Vyčio skliautas 2025“, pirmadienį vakare šauliai saugojo savivaldybės įmones „Grinda“, „Susisiekimo paslaugos“, „Vilniaus vandenys“ ir „Miesto gijos“ teritorijas.</t>
        </is>
      </c>
      <c r="G9" s="2" t="n">
        <v>1580314</v>
      </c>
      <c r="H9" s="2" t="n"/>
      <c r="I9" s="2" t="n"/>
      <c r="J9" s="2" t="n"/>
      <c r="K9" s="2" t="n"/>
      <c r="L9" s="2" t="inlineStr">
        <is>
          <t>Vilnius</t>
        </is>
      </c>
      <c r="M9" s="2" t="inlineStr">
        <is>
          <t>Vilniaus Apskritis</t>
        </is>
      </c>
      <c r="N9" s="2" t="inlineStr">
        <is>
          <t>Lithuania</t>
        </is>
      </c>
      <c r="O9" s="7" t="n">
        <v>14617.9</v>
      </c>
      <c r="P9" s="2" t="n">
        <v>68</v>
      </c>
      <c r="Q9" s="2" t="n"/>
    </row>
    <row r="10">
      <c r="A10" s="2" t="inlineStr">
        <is>
          <t>Pirmoji „Vyčio skliauto“ pratybų diena: šauliai iki vidurnakčio saugo sostinės įstaigas</t>
        </is>
      </c>
      <c r="B10" s="2">
        <f>HYPERLINK("https://www.lrt.lt/naujienos/lietuvoje/2/2703929/pirmoji-vycio-skliauto-pratybu-diena-sauliai-iki-vidurnakcio-saugo-sostines-istaigas")</f>
        <v/>
      </c>
      <c r="C10" s="2" t="inlineStr"/>
      <c r="D10" s="2" t="inlineStr">
        <is>
          <t>Lithuanian National Radio and Television (LRT)</t>
        </is>
      </c>
      <c r="E10" s="8" t="n">
        <v>45936.61394675926</v>
      </c>
      <c r="F10" s="2" t="inlineStr">
        <is>
          <t>Lietuvoje prasidėjus didžiausioms mobilizacinės sistemos patikrinimo pratyboms „Vyčio skliautas 2025“, pirmadienį vakare šauliai saugojo savivaldybės įmones „Grinda“, „Susisiekimo paslaugos“, „Vilniaus vandenys“ ir „Miesto gijos“ teritorijas.</t>
        </is>
      </c>
      <c r="G10" s="2" t="n">
        <v>1580314</v>
      </c>
      <c r="H10" s="2" t="n"/>
      <c r="I10" s="2" t="n"/>
      <c r="J10" s="2" t="n"/>
      <c r="K10" s="2" t="n"/>
      <c r="L10" s="2" t="inlineStr">
        <is>
          <t>Vilnius</t>
        </is>
      </c>
      <c r="M10" s="2" t="inlineStr">
        <is>
          <t>Vilniaus Apskritis</t>
        </is>
      </c>
      <c r="N10" s="2" t="inlineStr">
        <is>
          <t>Lithuania</t>
        </is>
      </c>
      <c r="O10" s="7" t="n">
        <v>14617.9</v>
      </c>
      <c r="P10" s="2" t="n">
        <v>68</v>
      </c>
      <c r="Q10" s="2" t="n"/>
    </row>
    <row r="11">
      <c r="A11" s="2" t="inlineStr">
        <is>
          <t>Prasidėjo mobilizacinės pratybos „Vyčio skliautas“: kas vyks Vilniuje?</t>
        </is>
      </c>
      <c r="B11" s="2">
        <f>HYPERLINK("https://www.15min.lt/naujiena/aktualu/lietuva/prasidejo-mobilizacines-pratybos-vycio-skliautas-kas-vyks-vilniuje-56-2538146")</f>
        <v/>
      </c>
      <c r="C11" s="2" t="inlineStr"/>
      <c r="D11" s="2" t="inlineStr">
        <is>
          <t>15min</t>
        </is>
      </c>
      <c r="E11" s="8" t="n">
        <v>45936.20094907407</v>
      </c>
      <c r="F11" s="2" t="inlineStr">
        <is>
          <t>., šauliai saugos savivaldybės įmonių „Grinda“, „Susisiekimo paslaugos“, „Miesto gijos“ ir „Vilniaus vandenys“ teritorijas. Pastarosiose dviejose teritorijose nuo 20.00 val. taip pat bus statomos kontrmobilumo priemonės.</t>
        </is>
      </c>
      <c r="G11" s="2" t="n">
        <v>1435066</v>
      </c>
      <c r="H11" s="2" t="n"/>
      <c r="I11" s="2" t="n"/>
      <c r="J11" s="2" t="n"/>
      <c r="K11" s="2" t="n"/>
      <c r="L11" s="2" t="inlineStr">
        <is>
          <t>Vilnius</t>
        </is>
      </c>
      <c r="M11" s="2" t="inlineStr">
        <is>
          <t>Vilniaus Apskritis</t>
        </is>
      </c>
      <c r="N11" s="2" t="inlineStr">
        <is>
          <t>Lithuania</t>
        </is>
      </c>
      <c r="O11" s="7" t="n">
        <v>13274.36</v>
      </c>
      <c r="P11" s="2" t="n">
        <v>73</v>
      </c>
      <c r="Q11" s="2" t="n"/>
    </row>
    <row r="12">
      <c r="A12" s="2" t="inlineStr">
        <is>
          <t>Visoje Lietuvoje šią savaitę vyks pratybos „Vyčio skliautas“</t>
        </is>
      </c>
      <c r="B12" s="2">
        <f>HYPERLINK("https://www.delfi.lt/news/daily/medijos-karas-propaganda/visoje-lietuvoje-sia-savaite-vyks-pratybos-vycio-skliautas-120157411")</f>
        <v/>
      </c>
      <c r="C12" s="2" t="inlineStr"/>
      <c r="D12" s="2" t="inlineStr">
        <is>
          <t>DELFI Lithuania</t>
        </is>
      </c>
      <c r="E12" s="8" t="n">
        <v>45936.03650462963</v>
      </c>
      <c r="F12" s="2" t="inlineStr">
        <is>
          <t>., šauliai saugos savivaldybės įmonių „Grinda“, „Susisiekimo paslaugos“, „Miesto gijos“ ir „Vilniaus vandenys“ teritorijas. Pastarosiose dviejose teritorijose nuo 20.00 val. taip pat bus statomos kontrmobilumo priemonės.</t>
        </is>
      </c>
      <c r="G12" s="2" t="n">
        <v>1849147</v>
      </c>
      <c r="H12" s="2" t="n"/>
      <c r="I12" s="2" t="n"/>
      <c r="J12" s="2" t="n"/>
      <c r="K12" s="2" t="n"/>
      <c r="L12" s="2" t="inlineStr">
        <is>
          <t>Vilnius</t>
        </is>
      </c>
      <c r="M12" s="2" t="inlineStr"/>
      <c r="N12" s="2" t="inlineStr">
        <is>
          <t>Lithuania</t>
        </is>
      </c>
      <c r="O12" s="7" t="n">
        <v>9245.74</v>
      </c>
      <c r="P12" s="2" t="n">
        <v>81</v>
      </c>
      <c r="Q12" s="2" t="n"/>
    </row>
    <row r="13">
      <c r="A13" s="2" t="inlineStr">
        <is>
          <t>Dalis vilniečių piktinasi: kodėl vieni kaimynai gyvena šiltai, o kiti - vis dar šąla?</t>
        </is>
      </c>
      <c r="B13" s="2">
        <f>HYPERLINK("https://www.lrt.lt/naujienos/verslas/4/2699645/dalis-vilnieciu-piktinasi-kodel-vieni-kaimynai-gyvena-siltai-o-kiti-vis-dar-sala")</f>
        <v/>
      </c>
      <c r="C13" s="2" t="inlineStr">
        <is>
          <t>Grėtė Ubartaitė</t>
        </is>
      </c>
      <c r="D13" s="2" t="inlineStr">
        <is>
          <t>Lithuanian National Radio and Television (LRT)</t>
        </is>
      </c>
      <c r="E13" s="8" t="n">
        <v>45932.45299768518</v>
      </c>
      <c r="F13" s="2" t="inlineStr">
        <is>
          <t>Vyksta dviem etapais
AB „Miesto gijos“ Klientų komandos vadovė Rūta Jasiulionienė paaiškino, kad šilumos tiekimo procesą galima suskirstyti į du etapus.</t>
        </is>
      </c>
      <c r="G13" s="2" t="n">
        <v>1580314</v>
      </c>
      <c r="H13" s="2" t="n"/>
      <c r="I13" s="2" t="n"/>
      <c r="J13" s="2" t="n"/>
      <c r="K13" s="2" t="n"/>
      <c r="L13" s="2" t="inlineStr">
        <is>
          <t>Vilnius</t>
        </is>
      </c>
      <c r="M13" s="2" t="inlineStr">
        <is>
          <t>Vilniaus Apskritis</t>
        </is>
      </c>
      <c r="N13" s="2" t="inlineStr">
        <is>
          <t>Lithuania</t>
        </is>
      </c>
      <c r="O13" s="7" t="n">
        <v>14617.9</v>
      </c>
      <c r="P13" s="2" t="n">
        <v>68</v>
      </c>
      <c r="Q13" s="2" t="n"/>
    </row>
    <row r="14">
      <c r="A14" s="2" t="inlineStr">
        <is>
          <t>„KTU WANTed karjeros dienos 2025“ - savo istorija dalinsis „ba.“ lyderis</t>
        </is>
      </c>
      <c r="B14" s="2">
        <f>HYPERLINK("https://www.lrt.lt/naujienos/verslas/4/2699386/ktu-wanted-karjeros-dienos-2025-savo-istorija-dalinsis-ba-lyderis")</f>
        <v/>
      </c>
      <c r="C14" s="2" t="inlineStr"/>
      <c r="D14" s="2" t="inlineStr">
        <is>
          <t>Lithuanian National Radio and Television (LRT)</t>
        </is>
      </c>
      <c r="E14" s="8" t="n">
        <v>45932.24755787037</v>
      </c>
      <c r="F14" s="2" t="inlineStr">
        <is>
          <t>Šiais metais studentai galės pabendrauti su įmonių atstovais iš „Aardvark“, „Ignitis grupė“, „LTG grupė“, „Mars Lietuva“, „EPSO-G“, „FORVIA HELLA“, „Hollister Lietuva“, „Gijos“, „MT Group“, „Senukai“, „Vinted“, „VMG grupė“ bei kitų.</t>
        </is>
      </c>
      <c r="G14" s="2" t="n">
        <v>1580314</v>
      </c>
      <c r="H14" s="2" t="n">
        <v>0</v>
      </c>
      <c r="I14" s="2" t="n">
        <v>0</v>
      </c>
      <c r="J14" s="2" t="n">
        <v>8</v>
      </c>
      <c r="K14" s="2" t="n"/>
      <c r="L14" s="2" t="inlineStr">
        <is>
          <t>Vilnius</t>
        </is>
      </c>
      <c r="M14" s="2" t="inlineStr">
        <is>
          <t>Vilniaus Apskritis</t>
        </is>
      </c>
      <c r="N14" s="2" t="inlineStr">
        <is>
          <t>Lithuania</t>
        </is>
      </c>
      <c r="O14" s="7" t="n">
        <v>14617.9</v>
      </c>
      <c r="P14" s="2" t="n">
        <v>68</v>
      </c>
      <c r="Q14" s="2" t="n"/>
    </row>
    <row r="15">
      <c r="A15" s="2" t="inlineStr">
        <is>
          <t>Sostinės meras: antradienį Vilniaus miesto savivaldybė pradeda šildymo sezoną</t>
        </is>
      </c>
      <c r="B15" s="2">
        <f>HYPERLINK("https://www.lrt.lt/naujienos/verslas/4/2696576/sostines-meras-antradieni-vilniaus-miesto-savivaldybe-pradeda-sildymo-sezona")</f>
        <v/>
      </c>
      <c r="C15" s="2" t="inlineStr">
        <is>
          <t>Vygantas Tuzas</t>
        </is>
      </c>
      <c r="D15" s="2" t="inlineStr">
        <is>
          <t>Lithuanian National Radio and Television (LRT)</t>
        </is>
      </c>
      <c r="E15" s="8" t="n">
        <v>45929.36962962963</v>
      </c>
      <c r="F15" s="2" t="inlineStr">
        <is>
          <t>Bakanas: pigesnis šildymas – dėl mažesnių biokuro kainų
Savivaldybės įmonės „Miesto gijos“ (buvę Vilniaus šilumos tinklai) generalinis direktorius Gerimantas Bakanas teigė, kad dėl stabiliame lygyje besilaikančių biokuro kainų biržoje šildymas ateinantį sezoną neturėtų brangti.</t>
        </is>
      </c>
      <c r="G15" s="2" t="n">
        <v>1580314</v>
      </c>
      <c r="H15" s="2" t="n"/>
      <c r="I15" s="2" t="n"/>
      <c r="J15" s="2" t="n"/>
      <c r="K15" s="2" t="n"/>
      <c r="L15" s="2" t="inlineStr">
        <is>
          <t>Vilnius</t>
        </is>
      </c>
      <c r="M15" s="2" t="inlineStr">
        <is>
          <t>Vilniaus Apskritis</t>
        </is>
      </c>
      <c r="N15" s="2" t="inlineStr">
        <is>
          <t>Lithuania</t>
        </is>
      </c>
      <c r="O15" s="7" t="n">
        <v>14617.9</v>
      </c>
      <c r="P15" s="2" t="n">
        <v>68</v>
      </c>
      <c r="Q15" s="2" t="n"/>
    </row>
    <row r="16">
      <c r="A16" s="2" t="inlineStr">
        <is>
          <t>Vilnius nusprendė nebelaukti: antradienį sostinėje pradės šilti radiatoriai</t>
        </is>
      </c>
      <c r="B16" s="2">
        <f>HYPERLINK("https://www.lrytas.lt/verslas/rinkos-pulsas/2025/09/29/news/vilnius-nusprende-nebelaukti-antradieni-sostineje-prades-silti-radiatoriai-39717872")</f>
        <v/>
      </c>
      <c r="C16" s="2" t="inlineStr"/>
      <c r="D16" s="2" t="inlineStr">
        <is>
          <t>lrytas.lt</t>
        </is>
      </c>
      <c r="E16" s="8" t="n">
        <v>45929.36512731481</v>
      </c>
      <c r="F16" s="2" t="inlineStr">
        <is>
          <t>Tiesa, paklaustas, ar tokių kainų galima tikėtis visą šildymo sezoną, AB „Miesto gijos“ generalinis direktorius Gerimantas Bakanas teigė, kad viskas priklauso nuo biokuro kainų, o pastarosios šiuo metu esą yra palankios.</t>
        </is>
      </c>
      <c r="G16" s="2" t="n">
        <v>1048872</v>
      </c>
      <c r="H16" s="2" t="n"/>
      <c r="I16" s="2" t="n"/>
      <c r="J16" s="2" t="n"/>
      <c r="K16" s="2" t="n"/>
      <c r="L16" s="2" t="inlineStr"/>
      <c r="M16" s="2" t="inlineStr"/>
      <c r="N16" s="2" t="inlineStr">
        <is>
          <t>Lithuania</t>
        </is>
      </c>
      <c r="O16" s="7" t="n">
        <v>9702.07</v>
      </c>
      <c r="P16" s="2" t="n">
        <v>70</v>
      </c>
      <c r="Q16" s="2" t="n"/>
    </row>
    <row r="17">
      <c r="A17" s="2" t="inlineStr">
        <is>
          <t>Meras paskelbė, kada Vilnius pradės šildymo sezoną</t>
        </is>
      </c>
      <c r="B17" s="2">
        <f>HYPERLINK("https://www.15min.lt/verslas/naujiena/energetika/vilnius-antradieni-prades-sildymo-sezona-sako-sostines-meras-664-2534086")</f>
        <v/>
      </c>
      <c r="C17" s="2" t="inlineStr">
        <is>
          <t>Lukas Juozapaitis</t>
        </is>
      </c>
      <c r="D17" s="2" t="inlineStr">
        <is>
          <t>15min</t>
        </is>
      </c>
      <c r="E17" s="8" t="n">
        <v>45929.36418981481</v>
      </c>
      <c r="F17" s="2" t="inlineStr">
        <is>
          <t>Sostinės šilumos tiekėjos bendrovės „Miesto gijos“ (buvę Vilniaus šilumos tinklai) vadovas Gerimantas Bakanas sakė, kad šilumos kainos pirmiausia priklausys nuo kuro, pirmiausia – biokuro – kainų. Šios dienos prognozėmis, jos turėtų išsilaikyti stabilios visą šildymo sezoną, teigė jis.</t>
        </is>
      </c>
      <c r="G17" s="2" t="n">
        <v>1435066</v>
      </c>
      <c r="H17" s="2" t="n"/>
      <c r="I17" s="2" t="n"/>
      <c r="J17" s="2" t="n"/>
      <c r="K17" s="2" t="n"/>
      <c r="L17" s="2" t="inlineStr">
        <is>
          <t>Vilnius</t>
        </is>
      </c>
      <c r="M17" s="2" t="inlineStr">
        <is>
          <t>Vilniaus Apskritis</t>
        </is>
      </c>
      <c r="N17" s="2" t="inlineStr">
        <is>
          <t>Lithuania</t>
        </is>
      </c>
      <c r="O17" s="7" t="n">
        <v>13274.36</v>
      </c>
      <c r="P17" s="2" t="n">
        <v>73</v>
      </c>
      <c r="Q17" s="2" t="n"/>
    </row>
    <row r="18">
      <c r="A18" s="2" t="inlineStr">
        <is>
          <t>Vilniuje antradienį pradedamas šildymo sezonas</t>
        </is>
      </c>
      <c r="B18" s="2">
        <f>HYPERLINK("https://www.delfi.lt/verslas/energetika/sostines-meras-antradieni-vilniaus-miesto-savivaldybe-pradeda-sildymo-sezona-120154788")</f>
        <v/>
      </c>
      <c r="C18" s="2" t="inlineStr"/>
      <c r="D18" s="2" t="inlineStr">
        <is>
          <t>DELFI Lithuania</t>
        </is>
      </c>
      <c r="E18" s="8" t="n">
        <v>45929.33913194444</v>
      </c>
      <c r="F18" s="2" t="inlineStr">
        <is>
          <t>Savivaldybės įmonės „Miesto gijos“ (buvę Vilniaus šilumos tinklai) generalinis direktorius Gerimantas Bakanas teigė, kad dėl stabiliame lygyje besilaikančių biokuro kainų biržoje šildymas ateinantį sezoną neturėtų brangti.
„Kainos priklauso nuo to, kokios yra kuro kainos.</t>
        </is>
      </c>
      <c r="G18" s="2" t="n">
        <v>1849147</v>
      </c>
      <c r="H18" s="2" t="n"/>
      <c r="I18" s="2" t="n"/>
      <c r="J18" s="2" t="n"/>
      <c r="K18" s="2" t="n"/>
      <c r="L18" s="2" t="inlineStr">
        <is>
          <t>Vilnius</t>
        </is>
      </c>
      <c r="M18" s="2" t="inlineStr"/>
      <c r="N18" s="2" t="inlineStr">
        <is>
          <t>Lithuania</t>
        </is>
      </c>
      <c r="O18" s="7" t="n">
        <v>9245.74</v>
      </c>
      <c r="P18" s="2" t="n">
        <v>81</v>
      </c>
      <c r="Q18" s="2" t="n"/>
    </row>
    <row r="19">
      <c r="A19" s="2" t="inlineStr">
        <is>
          <t>Šildymo sezono startas - dar laukiamas, bet šildytis gyventojai gali pradėti ir anksčiau</t>
        </is>
      </c>
      <c r="B19" s="2">
        <f>HYPERLINK("https://www.lrt.lt/naujienos/verslas/4/2693503/sildymo-sezono-startas-dar-laukiamas-bet-sildytis-gyventojai-gali-pradeti-ir-anksciau")</f>
        <v/>
      </c>
      <c r="C19" s="2" t="inlineStr">
        <is>
          <t>Gabrielė Jankienė</t>
        </is>
      </c>
      <c r="D19" s="2" t="inlineStr">
        <is>
          <t>Lithuanian National Radio and Television (LRT)</t>
        </is>
      </c>
      <c r="E19" s="8" t="n">
        <v>45926.35005787037</v>
      </c>
      <c r="F19" s="2" t="inlineStr">
        <is>
          <t>Priėmus tokį sprendimą, namo bendrijos pirmininkas ar administratorius apie tai privalo informuoti AB „Miesto gijos“, o šildymą įjungia namo šildymo ir karšto vandens sistemos prižiūrėtojas.</t>
        </is>
      </c>
      <c r="G19" s="2" t="n">
        <v>1580314</v>
      </c>
      <c r="H19" s="2" t="n"/>
      <c r="I19" s="2" t="n"/>
      <c r="J19" s="2" t="n"/>
      <c r="K19" s="2" t="n"/>
      <c r="L19" s="2" t="inlineStr">
        <is>
          <t>Vilnius</t>
        </is>
      </c>
      <c r="M19" s="2" t="inlineStr">
        <is>
          <t>Vilniaus Apskritis</t>
        </is>
      </c>
      <c r="N19" s="2" t="inlineStr">
        <is>
          <t>Lithuania</t>
        </is>
      </c>
      <c r="O19" s="7" t="n">
        <v>14617.9</v>
      </c>
      <c r="P19" s="2" t="n">
        <v>68</v>
      </c>
      <c r="Q19" s="2" t="n"/>
    </row>
    <row r="20">
      <c r="A20" s="2" t="inlineStr">
        <is>
          <t>Artėja šildymo sezonas: patarimai, kaip paruošti būstą</t>
        </is>
      </c>
      <c r="B20" s="2">
        <f>HYPERLINK("https://www.15min.lt/verslas/naujiena/energetika/arteja-sildymo-sezonas-patarimai-kaip-paruosti-busta-664-2532628")</f>
        <v/>
      </c>
      <c r="C20" s="2" t="inlineStr"/>
      <c r="D20" s="2" t="inlineStr">
        <is>
          <t>15min</t>
        </is>
      </c>
      <c r="E20" s="8" t="n">
        <v>45926.18905092592</v>
      </c>
      <c r="F20" s="2" t="inlineStr">
        <is>
          <t>Langų sandarumas
Didžiausios centralizuotos šilumos tiekėjos „Gijos“ Energetinio efektyvumo vadovas Juozas Paulėkas sako, kad daug šilumos įprastai iškeliauja pro nesandarius langus. Anot eksperto, prieš šildymo sezoną būtina patikrinti langus ir, jeigu yra poreikis, juos sureguliuoti.</t>
        </is>
      </c>
      <c r="G20" s="2" t="n">
        <v>1435066</v>
      </c>
      <c r="H20" s="2" t="n"/>
      <c r="I20" s="2" t="n"/>
      <c r="J20" s="2" t="n"/>
      <c r="K20" s="2" t="n"/>
      <c r="L20" s="2" t="inlineStr">
        <is>
          <t>Vilnius</t>
        </is>
      </c>
      <c r="M20" s="2" t="inlineStr">
        <is>
          <t>Vilniaus Apskritis</t>
        </is>
      </c>
      <c r="N20" s="2" t="inlineStr">
        <is>
          <t>Lithuania</t>
        </is>
      </c>
      <c r="O20" s="7" t="n">
        <v>13274.36</v>
      </c>
      <c r="P20" s="2" t="n">
        <v>73</v>
      </c>
      <c r="Q20" s="2" t="n"/>
    </row>
    <row r="21">
      <c r="A21" s="2" t="inlineStr">
        <is>
          <t>Gydytojas neigia mitus apie apipjaustymą: varpa nesumažėja, seksas nepagerėja</t>
        </is>
      </c>
      <c r="B21" s="2">
        <f>HYPERLINK("https://www.lrt.lt/naujienos/sveikata/682/2688653/gydytojas-neigia-mitus-apie-apipjaustyma-varpa-nesumazeja-seksas-nepagereja")</f>
        <v/>
      </c>
      <c r="C21" s="2" t="inlineStr"/>
      <c r="D21" s="2" t="inlineStr">
        <is>
          <t>Lithuanian National Radio and Television (LRT)</t>
        </is>
      </c>
      <c r="E21" s="8" t="n">
        <v>45924.57726851852</v>
      </c>
      <c r="F21" s="2" t="inlineStr">
        <is>
          <t>Religinis apipjaustymas – be nuskausminamųjų
Pasak „Gijos klinikų“ gydytojo urologo Tito Simaškos, pas mus ši operacija nėra populiari, o štai JAV net 60 proc. vyrų yra ją pasidarę.
„Aš kalbu apie vyrus, kuriems ši operacija atlikta ne religiniais tikslais.</t>
        </is>
      </c>
      <c r="G21" s="2" t="n">
        <v>1580314</v>
      </c>
      <c r="H21" s="2" t="n">
        <v>0</v>
      </c>
      <c r="I21" s="2" t="n">
        <v>0</v>
      </c>
      <c r="J21" s="2" t="n">
        <v>9</v>
      </c>
      <c r="K21" s="2" t="n"/>
      <c r="L21" s="2" t="inlineStr">
        <is>
          <t>Vilnius</t>
        </is>
      </c>
      <c r="M21" s="2" t="inlineStr">
        <is>
          <t>Vilniaus Apskritis</t>
        </is>
      </c>
      <c r="N21" s="2" t="inlineStr">
        <is>
          <t>Lithuania</t>
        </is>
      </c>
      <c r="O21" s="7" t="n">
        <v>14617.9</v>
      </c>
      <c r="P21" s="2" t="n">
        <v>68</v>
      </c>
      <c r="Q21" s="2" t="n"/>
    </row>
    <row r="22">
      <c r="A22" s="2" t="inlineStr">
        <is>
          <t>Lietuvos energetinė nepriklausomybė: kokia atsinaujinančios energetikos reikšmė?</t>
        </is>
      </c>
      <c r="B22" s="2">
        <f>HYPERLINK("https://www.lrt.lt/naujienos/verslas/4/2678275/lietuvos-energetine-nepriklausomybe-kokia-atsinaujinancios-energetikos-reiksme")</f>
        <v/>
      </c>
      <c r="C22" s="2" t="inlineStr"/>
      <c r="D22" s="2" t="inlineStr">
        <is>
          <t>Lithuanian National Radio and Television (LRT)</t>
        </is>
      </c>
      <c r="E22" s="8" t="n">
        <v>45915.21423611111</v>
      </c>
      <c r="F22" s="2" t="inlineStr">
        <is>
          <t>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t>
        </is>
      </c>
      <c r="G22" s="2" t="n">
        <v>1580314</v>
      </c>
      <c r="H22" s="2" t="n">
        <v>0</v>
      </c>
      <c r="I22" s="2" t="n">
        <v>0</v>
      </c>
      <c r="J22" s="2" t="n">
        <v>13</v>
      </c>
      <c r="K22" s="2" t="n"/>
      <c r="L22" s="2" t="inlineStr">
        <is>
          <t>Vilnius</t>
        </is>
      </c>
      <c r="M22" s="2" t="inlineStr">
        <is>
          <t>Vilniaus Apskritis</t>
        </is>
      </c>
      <c r="N22" s="2" t="inlineStr">
        <is>
          <t>Lithuania</t>
        </is>
      </c>
      <c r="O22" s="7" t="n">
        <v>14617.9</v>
      </c>
      <c r="P22" s="2" t="n">
        <v>68</v>
      </c>
      <c r="Q22" s="2" t="n"/>
    </row>
    <row r="23">
      <c r="A23" s="2" t="inlineStr">
        <is>
          <t>Modernus grožio sprendimas: antakių pakėlimas be pjūvių veide</t>
        </is>
      </c>
      <c r="B23" s="2">
        <f>HYPERLINK("https://www.lrytas.lt/sveikata/medicinos-zinios/2025/09/09/news/modernus-grozio-sprendimas-antakiu-pakelimas-be-pjuviu-veide-39447564")</f>
        <v/>
      </c>
      <c r="C23" s="2" t="inlineStr"/>
      <c r="D23" s="2" t="inlineStr">
        <is>
          <t>lrytas.lt</t>
        </is>
      </c>
      <c r="E23" s="8" t="n">
        <v>45909.24105324074</v>
      </c>
      <c r="F23" s="2" t="inlineStr">
        <is>
          <t>Taip pat vis dažniau plastinėmis operacijomis domisi vyrai – šis pokytis itin ryškus, lyginant su mano karjeros pradžia.“
Pasak „Gijos Klinikų“ gydytojo G.Stankevičiaus, šiandien žmonės ryžtasi operacijoms drąsiau, o informacijos prieinamumas padeda geriau suprasti gijimo procesą.</t>
        </is>
      </c>
      <c r="G23" s="2" t="n">
        <v>1048872</v>
      </c>
      <c r="H23" s="2" t="n"/>
      <c r="I23" s="2" t="n"/>
      <c r="J23" s="2" t="n"/>
      <c r="K23" s="2" t="n"/>
      <c r="L23" s="2" t="inlineStr"/>
      <c r="M23" s="2" t="inlineStr"/>
      <c r="N23" s="2" t="inlineStr">
        <is>
          <t>Lithuania</t>
        </is>
      </c>
      <c r="O23" s="7" t="n">
        <v>9702.07</v>
      </c>
      <c r="P23" s="2" t="n">
        <v>70</v>
      </c>
      <c r="Q23" s="2" t="n"/>
    </row>
    <row r="24">
      <c r="A24" s="2" t="inlineStr">
        <is>
          <t>Po bendrovės įvaizdžio pokyčių - vilnietės pyktis: „Panašu, kad naujovės - tik kosmetinės“</t>
        </is>
      </c>
      <c r="B24" s="2">
        <f>HYPERLINK("https://www.lrt.lt/naujienos/verslas/4/2658622/po-bendroves-ivaizdzio-pokyciu-vilnietes-pyktis-panasu-kad-naujoves-tik-kosmetines")</f>
        <v/>
      </c>
      <c r="C24" s="2" t="inlineStr">
        <is>
          <t>Grėtė Ubartaitė</t>
        </is>
      </c>
      <c r="D24" s="2" t="inlineStr">
        <is>
          <t>Lithuanian National Radio and Television (LRT)</t>
        </is>
      </c>
      <c r="E24" s="8" t="n">
        <v>45908.48600694445</v>
      </c>
      <c r="F24" s="2" t="inlineStr">
        <is>
          <t>Visai neseniai dalis vilniečių iš AB „Gijos“ (anksčiau Vilniaus šilumos tinklai – aut. past.) sulaukė laiško, kuriame teigta, kad sutriko automatinis e. sąskaitų nuskaitymas banke „Swedbank“, o šio mėnesio sąskaita bus pridėta prie kitos ir apmokėta automatiškai.</t>
        </is>
      </c>
      <c r="G24" s="2" t="n">
        <v>1580314</v>
      </c>
      <c r="H24" s="2" t="n"/>
      <c r="I24" s="2" t="n"/>
      <c r="J24" s="2" t="n"/>
      <c r="K24" s="2" t="n"/>
      <c r="L24" s="2" t="inlineStr">
        <is>
          <t>Vilnius</t>
        </is>
      </c>
      <c r="M24" s="2" t="inlineStr">
        <is>
          <t>Vilniaus Apskritis</t>
        </is>
      </c>
      <c r="N24" s="2" t="inlineStr">
        <is>
          <t>Lithuania</t>
        </is>
      </c>
      <c r="O24" s="7" t="n">
        <v>14617.9</v>
      </c>
      <c r="P24" s="2" t="n">
        <v>68</v>
      </c>
      <c r="Q24" s="2" t="n"/>
    </row>
    <row r="25">
      <c r="A25" s="2" t="inlineStr">
        <is>
          <t>Sigitas Gailiūnas. Keturių darbo dienų savaitė Lietuvoje: labiau rizika nei galimybė</t>
        </is>
      </c>
      <c r="B25" s="2">
        <f>HYPERLINK("https://www.delfi.lt/verslo-poziuris/nuomones/sigitas-gailiunas-keturiu-darbo-dienu-savaite-lietuvoje-labiau-rizika-nei-galimybe-120145037")</f>
        <v/>
      </c>
      <c r="C25" s="2" t="inlineStr"/>
      <c r="D25" s="2" t="inlineStr">
        <is>
          <t>DELFI Lithuania</t>
        </is>
      </c>
      <c r="E25" s="8" t="n">
        <v>45908.00016203704</v>
      </c>
      <c r="F25" s="2"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G25" s="2" t="n">
        <v>1849147</v>
      </c>
      <c r="H25" s="2" t="n">
        <v>0</v>
      </c>
      <c r="I25" s="2" t="n">
        <v>0</v>
      </c>
      <c r="J25" s="2" t="n">
        <v>0</v>
      </c>
      <c r="K25" s="2" t="n"/>
      <c r="L25" s="2" t="inlineStr">
        <is>
          <t>Vilnius</t>
        </is>
      </c>
      <c r="M25" s="2" t="inlineStr"/>
      <c r="N25" s="2" t="inlineStr">
        <is>
          <t>Lithuania</t>
        </is>
      </c>
      <c r="O25" s="7" t="n">
        <v>9245.74</v>
      </c>
      <c r="P25" s="2" t="n">
        <v>81</v>
      </c>
      <c r="Q25" s="2" t="n"/>
    </row>
    <row r="26">
      <c r="A26" s="2" t="inlineStr">
        <is>
          <t>Indrė Trakimaitė-Šeškuvienė - Vilniaus vystymo kompanijos komunikacijos skyriaus vadovė</t>
        </is>
      </c>
      <c r="B26" s="2">
        <f>HYPERLINK("https://www.delfi.lt/m360/naujausi-straipsniai/indre-trakimaite-seskuviene-vilniaus-vystymo-kompanijos-komunikacijos-skyriaus-vadove-120144983")</f>
        <v/>
      </c>
      <c r="C26" s="2" t="inlineStr"/>
      <c r="D26" s="2" t="inlineStr">
        <is>
          <t>DELFI Lithuania</t>
        </is>
      </c>
      <c r="E26" s="8" t="n">
        <v>45905.20761574074</v>
      </c>
      <c r="F26" s="2" t="inlineStr">
        <is>
          <t>Komunikacijos vadove yra dirbusi draudimo bendrovėje „Lietuvos draudimas“, AB Vilniaus šilumos tinklai (dabar – Gijos).</t>
        </is>
      </c>
      <c r="G26" s="2" t="n">
        <v>1849147</v>
      </c>
      <c r="H26" s="2" t="n"/>
      <c r="I26" s="2" t="n"/>
      <c r="J26" s="2" t="n"/>
      <c r="K26" s="2" t="n"/>
      <c r="L26" s="2" t="inlineStr">
        <is>
          <t>Vilnius</t>
        </is>
      </c>
      <c r="M26" s="2" t="inlineStr"/>
      <c r="N26" s="2" t="inlineStr">
        <is>
          <t>Lithuania</t>
        </is>
      </c>
      <c r="O26" s="7" t="n">
        <v>9245.74</v>
      </c>
      <c r="P26" s="2" t="n">
        <v>81</v>
      </c>
      <c r="Q26" s="2" t="n"/>
    </row>
    <row r="27">
      <c r="A27" s="2" t="inlineStr">
        <is>
          <t>Sigitas Gailiūnas. Keturių darbo dienų savaitė Lietuvoje: labiau rizika nei galimybė</t>
        </is>
      </c>
      <c r="B27" s="2">
        <f>HYPERLINK("https://www.lrt.lt/naujienos/verslo-pozicija/692/2666200/sigitas-gailiunas-keturiu-darbo-dienu-savaite-lietuvoje-labiau-rizika-nei-galimybe")</f>
        <v/>
      </c>
      <c r="C27" s="2" t="inlineStr">
        <is>
          <t>Lietuvos prekybos</t>
        </is>
      </c>
      <c r="D27" s="2" t="inlineStr">
        <is>
          <t>Lithuanian National Radio and Television (LRT)</t>
        </is>
      </c>
      <c r="E27" s="8" t="n">
        <v>45905.12222222222</v>
      </c>
      <c r="F27" s="2"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G27" s="2" t="n">
        <v>1580314</v>
      </c>
      <c r="H27" s="2" t="n">
        <v>0</v>
      </c>
      <c r="I27" s="2" t="n">
        <v>0</v>
      </c>
      <c r="J27" s="2" t="n">
        <v>0</v>
      </c>
      <c r="K27" s="2" t="n"/>
      <c r="L27" s="2" t="inlineStr">
        <is>
          <t>Vilnius</t>
        </is>
      </c>
      <c r="M27" s="2" t="inlineStr">
        <is>
          <t>Vilniaus Apskritis</t>
        </is>
      </c>
      <c r="N27" s="2" t="inlineStr">
        <is>
          <t>Lithuania</t>
        </is>
      </c>
      <c r="O27" s="7" t="n">
        <v>14617.9</v>
      </c>
      <c r="P27" s="2" t="n">
        <v>68</v>
      </c>
      <c r="Q27" s="2" t="n"/>
    </row>
    <row r="28">
      <c r="A28" s="2" t="inlineStr">
        <is>
          <t>Sigitas Gailiūnas. Keturių darbo dienų savaitė Lietuvoje: labiau rizika nei galimybė</t>
        </is>
      </c>
      <c r="B28" s="2">
        <f>HYPERLINK("https://www.15min.lt/verslas/naujiena/finansai/sigitas-gailiunas-keturiu-darbo-dienu-savaite-lietuvoje-labiau-rizika-nei-galimybe-662-2518752")</f>
        <v/>
      </c>
      <c r="C28" s="2" t="inlineStr">
        <is>
          <t>Lietuvos prekybos</t>
        </is>
      </c>
      <c r="D28" s="2" t="inlineStr">
        <is>
          <t>15min</t>
        </is>
      </c>
      <c r="E28" s="8" t="n">
        <v>45905.1053587963</v>
      </c>
      <c r="F28" s="2"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G28" s="2" t="n">
        <v>1435066</v>
      </c>
      <c r="H28" s="2" t="n">
        <v>0</v>
      </c>
      <c r="I28" s="2" t="n">
        <v>0</v>
      </c>
      <c r="J28" s="2" t="n">
        <v>0</v>
      </c>
      <c r="K28" s="2" t="n"/>
      <c r="L28" s="2" t="inlineStr">
        <is>
          <t>Vilnius</t>
        </is>
      </c>
      <c r="M28" s="2" t="inlineStr">
        <is>
          <t>Vilniaus Apskritis</t>
        </is>
      </c>
      <c r="N28" s="2" t="inlineStr">
        <is>
          <t>Lithuania</t>
        </is>
      </c>
      <c r="O28" s="7" t="n">
        <v>13274.36</v>
      </c>
      <c r="P28" s="2" t="n">
        <v>73</v>
      </c>
      <c r="Q28" s="2" t="n"/>
    </row>
    <row r="29">
      <c r="A29" s="2" t="inlineStr">
        <is>
          <t>Vilniaus pasiruošimas elektros tiekimo nutrūkimui: generatoriai ir ekstremalių situacijų valdymas</t>
        </is>
      </c>
      <c r="B29" s="2">
        <f>HYPERLINK("https://www.delfi.lt/saugu/naujienos/vilnieciai-dingus-elektrai-galetu-pasinaudoti-generatoriais-taciau-ju-vietos-dar-neparuostos-120144069")</f>
        <v/>
      </c>
      <c r="C29" s="2" t="inlineStr">
        <is>
          <t>Ieva Kniukštienė, Jonas Balciunas</t>
        </is>
      </c>
      <c r="D29" s="2" t="inlineStr">
        <is>
          <t>DELFI Lithuania</t>
        </is>
      </c>
      <c r="E29" s="8" t="n">
        <v>45904.49815972222</v>
      </c>
      <c r="F29" s="2" t="inlineStr">
        <is>
          <t>Kai kurios įmonės yra numatytos kaip teikiančios paramą kitoms savivaldybės įstaigoms – pavyzdžiui, „Miesto gijos“ galėtų aprūpinti šiluma gydymo įstaigas, atveždamos mobilias katilines, jei būtų nutrauktas centrinis šildymas“, – sakė G. Grubinskas.</t>
        </is>
      </c>
      <c r="G29" s="2" t="n">
        <v>1849147</v>
      </c>
      <c r="H29" s="2" t="n">
        <v>0</v>
      </c>
      <c r="I29" s="2" t="n">
        <v>0</v>
      </c>
      <c r="J29" s="2" t="n">
        <v>0</v>
      </c>
      <c r="K29" s="2" t="n"/>
      <c r="L29" s="2" t="inlineStr">
        <is>
          <t>Vilnius</t>
        </is>
      </c>
      <c r="M29" s="2" t="inlineStr"/>
      <c r="N29" s="2" t="inlineStr">
        <is>
          <t>Lithuania</t>
        </is>
      </c>
      <c r="O29" s="7" t="n">
        <v>9245.74</v>
      </c>
      <c r="P29" s="2" t="n">
        <v>81</v>
      </c>
      <c r="Q29" s="2" t="n"/>
    </row>
    <row r="30">
      <c r="A30" s="2" t="inlineStr">
        <is>
          <t>Keturių darbo dienų savaitės eksperimentas: vieni mano, kad padės gimstamumui, kiti įspėja dėl algų</t>
        </is>
      </c>
      <c r="B30" s="2">
        <f>HYPERLINK("https://www.delfi.lt/verslas/verslas/keturiu-darbo-dienu-savaites-eksperimentas-vieni-mano-kad-pades-gimstamumui-kiti-ispeja-del-algu-120143858")</f>
        <v/>
      </c>
      <c r="C30" s="2" t="inlineStr">
        <is>
          <t>Edgaras Valeckas, Julius Kalinskas, Neringa Girdvainiene</t>
        </is>
      </c>
      <c r="D30" s="2" t="inlineStr">
        <is>
          <t>DELFI Lithuania</t>
        </is>
      </c>
      <c r="E30" s="8" t="n">
        <v>45903.26476851852</v>
      </c>
      <c r="F30" s="2" t="inlineStr">
        <is>
          <t>Energetikos bendrovėje „Gijos“ 80 proc. darbuotojų dirba ne penkias, o keturias dienas per savaitę, rašo lrt.lt.
Toks darbo modelis taikomas jau kelerius metus.</t>
        </is>
      </c>
      <c r="G30" s="2" t="n">
        <v>1849147</v>
      </c>
      <c r="H30" s="2" t="n"/>
      <c r="I30" s="2" t="n"/>
      <c r="J30" s="2" t="n"/>
      <c r="K30" s="2" t="n"/>
      <c r="L30" s="2" t="inlineStr">
        <is>
          <t>Vilnius</t>
        </is>
      </c>
      <c r="M30" s="2" t="inlineStr"/>
      <c r="N30" s="2" t="inlineStr">
        <is>
          <t>Lithuania</t>
        </is>
      </c>
      <c r="O30" s="7" t="n">
        <v>9245.74</v>
      </c>
      <c r="P30" s="2" t="n">
        <v>81</v>
      </c>
      <c r="Q30" s="2" t="n"/>
    </row>
    <row r="31">
      <c r="A31" s="2" t="inlineStr">
        <is>
          <t>Ar juokai apie 4 dienų darbo savaitę padidins gimstamumą Lietuvoje</t>
        </is>
      </c>
      <c r="B31" s="2">
        <f>HYPERLINK("https://www.15min.lt/verslas/naujiena/bendroves/ar-juokai-apie-4-dienu-darbo-savaite-padidins-gimstamuma-lietuvoje-663-2516598")</f>
        <v/>
      </c>
      <c r="C31" s="2" t="inlineStr">
        <is>
          <t>Edgaras Valeckas</t>
        </is>
      </c>
      <c r="D31" s="2" t="inlineStr">
        <is>
          <t>15min</t>
        </is>
      </c>
      <c r="E31" s="8" t="n">
        <v>45902.33681712963</v>
      </c>
      <c r="F31" s="2" t="inlineStr">
        <is>
          <t>Energetikos bendrovėje „Gijos“ 80 proc. darbuotojų dirba ne penkias, o keturias dienas per savaitę, rašo lrt.lt.
Toks darbo modelis taikomas jau kelerius metus.</t>
        </is>
      </c>
      <c r="G31" s="2" t="n">
        <v>1435066</v>
      </c>
      <c r="H31" s="2" t="n">
        <v>0</v>
      </c>
      <c r="I31" s="2" t="n">
        <v>0</v>
      </c>
      <c r="J31" s="2" t="n">
        <v>0</v>
      </c>
      <c r="K31" s="2" t="n"/>
      <c r="L31" s="2" t="inlineStr">
        <is>
          <t>Vilnius</t>
        </is>
      </c>
      <c r="M31" s="2" t="inlineStr">
        <is>
          <t>Vilniaus Apskritis</t>
        </is>
      </c>
      <c r="N31" s="2" t="inlineStr">
        <is>
          <t>Lithuania</t>
        </is>
      </c>
      <c r="O31" s="7" t="n">
        <v>13274.36</v>
      </c>
      <c r="P31" s="2" t="n">
        <v>73</v>
      </c>
      <c r="Q31" s="2" t="n"/>
    </row>
    <row r="32">
      <c r="A32" s="2" t="inlineStr">
        <is>
          <t>Ruginienė neatsitraukia nuo 4 darbo dienų savaitės: verslas tai vadina politiniu futurizmu</t>
        </is>
      </c>
      <c r="B32" s="2">
        <f>HYPERLINK("https://www.lrt.lt/naujienos/verslas/4/2660154/ruginiene-neatsitraukia-nuo-4-darbo-dienu-savaites-verslas-tai-vadina-politiniu-futurizmu")</f>
        <v/>
      </c>
      <c r="C32" s="2" t="inlineStr">
        <is>
          <t>Enrika Gecaitė</t>
        </is>
      </c>
      <c r="D32" s="2" t="inlineStr">
        <is>
          <t>Lithuanian National Radio and Television (LRT)</t>
        </is>
      </c>
      <c r="E32" s="8" t="n">
        <v>45900.65846064815</v>
      </c>
      <c r="F32" s="2" t="inlineStr">
        <is>
          <t>Energetikos bendrovėje „Gijos“ 80 proc. darbuotojų dirba ne penkias, o keturias dienas per savaitę. Toks darbo modelis taikomas jau kelerius metus. Anot įmonės atstovės, dirbant mažiau dienų padidėjo darbo efektyvumas, o darbuotojai turi daugiau laisvo laiko šeimai, pomėgiams, mokymuisi.</t>
        </is>
      </c>
      <c r="G32" s="2" t="n">
        <v>1580314</v>
      </c>
      <c r="H32" s="2" t="n"/>
      <c r="I32" s="2" t="n"/>
      <c r="J32" s="2" t="n"/>
      <c r="K32" s="2" t="n"/>
      <c r="L32" s="2" t="inlineStr">
        <is>
          <t>Vilnius</t>
        </is>
      </c>
      <c r="M32" s="2" t="inlineStr">
        <is>
          <t>Vilniaus Apskritis</t>
        </is>
      </c>
      <c r="N32" s="2" t="inlineStr">
        <is>
          <t>Lithuania</t>
        </is>
      </c>
      <c r="O32" s="7" t="n">
        <v>14617.9</v>
      </c>
      <c r="P32" s="2" t="n">
        <v>68</v>
      </c>
      <c r="Q32" s="2" t="n"/>
    </row>
    <row r="33">
      <c r="A33" s="2" t="inlineStr">
        <is>
          <t>„Pasiūlė 17 kartų brangesnį sprendimą“: vilniečiai kyla į kovą su „Mano būstu“</t>
        </is>
      </c>
      <c r="B33" s="2">
        <f>HYPERLINK("https://www.lrt.lt/naujienos/verslas/4/2652237/pasiule-17-kartu-brangesni-sprendima-vilnieciai-kyla-i-kova-su-mano-bustu")</f>
        <v/>
      </c>
      <c r="C33" s="2" t="inlineStr">
        <is>
          <t>Irma Janauskaitė</t>
        </is>
      </c>
      <c r="D33" s="2" t="inlineStr">
        <is>
          <t>Lithuanian National Radio and Television (LRT)</t>
        </is>
      </c>
      <c r="E33" s="8" t="n">
        <v>45896.56876157408</v>
      </c>
      <c r="F33" s="2" t="inlineStr">
        <is>
          <t>Individuali apskaita išliktų, bet „Gijos“ įrengtų savus skaitiklius.
Į LRT GIRDI besikreipę žmonės apie neveikiančius skaitiklius sako nieko negirdėję.
„Mano būstas“ šios informacijos netransliavo. Tai tiesiog liūdna“, – nuogąstauja vilnietė Justė.</t>
        </is>
      </c>
      <c r="G33" s="2" t="n">
        <v>1580314</v>
      </c>
      <c r="H33" s="2" t="n"/>
      <c r="I33" s="2" t="n"/>
      <c r="J33" s="2" t="n"/>
      <c r="K33" s="2" t="n"/>
      <c r="L33" s="2" t="inlineStr">
        <is>
          <t>Vilnius</t>
        </is>
      </c>
      <c r="M33" s="2" t="inlineStr">
        <is>
          <t>Vilniaus Apskritis</t>
        </is>
      </c>
      <c r="N33" s="2" t="inlineStr">
        <is>
          <t>Lithuania</t>
        </is>
      </c>
      <c r="O33" s="7" t="n">
        <v>14617.9</v>
      </c>
      <c r="P33" s="2" t="n">
        <v>68</v>
      </c>
      <c r="Q33" s="2" t="n"/>
    </row>
    <row r="34">
      <c r="A34" s="2" t="inlineStr">
        <is>
          <t>„Žalgirio“ naujokams atlikta medicininė patikra: M. Wrichtas prasitarė apie vasaros nuotykius</t>
        </is>
      </c>
      <c r="B34" s="2">
        <f>HYPERLINK("https://www.lrytas.lt/sportas/krepsinis/2025/08/19/news/-zalgirio-naujokams-atlikta-medicinine-patikra-m-wrichtas-prasitare-apie-vasaros-nuotykius-39151388")</f>
        <v/>
      </c>
      <c r="C34" s="2" t="inlineStr"/>
      <c r="D34" s="2" t="inlineStr">
        <is>
          <t>lrytas.lt</t>
        </is>
      </c>
      <c r="E34" s="8" t="n">
        <v>45888.31449074074</v>
      </c>
      <c r="F34" s="2" t="inlineStr">
        <is>
          <t>Naujausiame „Žalgiris Insider“ epizode tiesiai iš „Gijos Klinikų“ išgirsite dar daugiau žalgiriečių minčių: sužinosite, kuris pratimas medicininės patikros metu labiausiai nepatiko M.Wrightui, išgirsite gydytojo įžvalgas apie krepšininkų sveikatos būklę bei prognozes, kada I.Brazdeikis galės pilnu pajėgumu</t>
        </is>
      </c>
      <c r="G34" s="2" t="n">
        <v>1048872</v>
      </c>
      <c r="H34" s="2" t="n"/>
      <c r="I34" s="2" t="n"/>
      <c r="J34" s="2" t="n"/>
      <c r="K34" s="2" t="n"/>
      <c r="L34" s="2" t="inlineStr"/>
      <c r="M34" s="2" t="inlineStr"/>
      <c r="N34" s="2" t="inlineStr">
        <is>
          <t>Lithuania</t>
        </is>
      </c>
      <c r="O34" s="7" t="n">
        <v>9702.07</v>
      </c>
      <c r="P34" s="2" t="n">
        <v>70</v>
      </c>
      <c r="Q34" s="2" t="n"/>
    </row>
    <row r="35">
      <c r="A35" s="2" t="inlineStr">
        <is>
          <t>Regionų krepšinio lygoje - rekordinis komandų skaičius ir pokyčiai B divizione</t>
        </is>
      </c>
      <c r="B35" s="2">
        <f>HYPERLINK("https://www.lrt.lt/naujienos/sportas/10/2637037/regionu-krepsinio-lygoje-rekordinis-komandu-skaicius-ir-pokyciai-b-divizione")</f>
        <v/>
      </c>
      <c r="C35" s="2" t="inlineStr"/>
      <c r="D35" s="2" t="inlineStr">
        <is>
          <t>Lithuanian National Radio and Television (LRT)</t>
        </is>
      </c>
      <c r="E35" s="8" t="n">
        <v>45877.00487268518</v>
      </c>
      <c r="F35" s="2" t="inlineStr">
        <is>
          <t>„Tornado-Tauras“, Lietuvos sporto universitetas, Šiaulių KA „Saulė“ ŠSG, Ukmergės SC „Jusema“, LKSK „Gijos Klinikos“, Vilniaus rajono krepšinio klubas, Varėnos „Glassbee-KRS“, BC Radviliškis, Pakruojo SC „Lygumų ŽŪB“, Vytauto Didžiojo universitetas-2, Kauno technologijos universitetas, „Panevėžys“, Anykščių</t>
        </is>
      </c>
      <c r="G35" s="2" t="n">
        <v>1580314</v>
      </c>
      <c r="H35" s="2" t="n"/>
      <c r="I35" s="2" t="n"/>
      <c r="J35" s="2" t="n"/>
      <c r="K35" s="2" t="n"/>
      <c r="L35" s="2" t="inlineStr">
        <is>
          <t>Vilnius</t>
        </is>
      </c>
      <c r="M35" s="2" t="inlineStr">
        <is>
          <t>Vilniaus Apskritis</t>
        </is>
      </c>
      <c r="N35" s="2" t="inlineStr">
        <is>
          <t>Lithuania</t>
        </is>
      </c>
      <c r="O35" s="7" t="n">
        <v>14617.9</v>
      </c>
      <c r="P35" s="2" t="n">
        <v>68</v>
      </c>
      <c r="Q35" s="2" t="n"/>
    </row>
    <row r="36">
      <c r="A36" s="2" t="inlineStr">
        <is>
          <t>Lietuvos chirurgai pirmieji Baltijos šalyse įdiegė išmanią artroskopijos vaizdo sistemą</t>
        </is>
      </c>
      <c r="B36" s="2">
        <f>HYPERLINK("https://www.lrytas.lt/sveikata/medicinos-zinios/2025/08/05/news/lietuvos-chirurgai-pirmieji-baltijos-salyse-idiege-ismania-artroskopijos-vaizdo-sistema-38961857")</f>
        <v/>
      </c>
      <c r="C36" s="2" t="inlineStr"/>
      <c r="D36" s="2" t="inlineStr">
        <is>
          <t>lrytas.lt</t>
        </is>
      </c>
      <c r="E36" s="8" t="n">
        <v>45874.40988425926</v>
      </c>
      <c r="F36" s="2" t="inlineStr">
        <is>
          <t>Pasirinkome vaizdo sistemą, suteikiančią chirurgams išskirtinę galimybę visos operacijos metu stebėti didžiausios raiškos ir plataus matymo kampo vaizdą, dirbti su dar didesniu tikslumu“, – sako „Gijos Klinikų“ medicinos direktorė Rasa Petrikienė.</t>
        </is>
      </c>
      <c r="G36" s="2" t="n">
        <v>1048872</v>
      </c>
      <c r="H36" s="2" t="n"/>
      <c r="I36" s="2" t="n"/>
      <c r="J36" s="2" t="n"/>
      <c r="K36" s="2" t="n"/>
      <c r="L36" s="2" t="inlineStr"/>
      <c r="M36" s="2" t="inlineStr"/>
      <c r="N36" s="2" t="inlineStr">
        <is>
          <t>Lithuania</t>
        </is>
      </c>
      <c r="O36" s="7" t="n">
        <v>9702.07</v>
      </c>
      <c r="P36" s="2" t="n">
        <v>70</v>
      </c>
      <c r="Q36" s="2" t="n"/>
    </row>
    <row r="37">
      <c r="A37" s="2" t="inlineStr">
        <is>
          <t>Vilniaus šilumos tinklai nuo šiol veikia nauju vardu</t>
        </is>
      </c>
      <c r="B37" s="2">
        <f>HYPERLINK("https://www.lrytas.lt/verslas/rinkos-pulsas/2025/08/01/news/vilniaus-silumos-tinklai-nuo-siol-veikia-nauju-vardu-38910922")</f>
        <v/>
      </c>
      <c r="C37" s="2" t="inlineStr"/>
      <c r="D37" s="2" t="inlineStr">
        <is>
          <t>lrytas.lt</t>
        </is>
      </c>
      <c r="E37" s="8" t="n">
        <v>45870.14064814815</v>
      </c>
      <c r="F37" s="2" t="inlineStr">
        <is>
          <t>Per pastaruosius metus „Gijos“ iš centralizuotos šilumos tiekėjo tapo energetikos įmonių grupe. 2024 m. įmonė baigė bendrovių „Miesto energija“ ir „Pramonės energija“ 100 proc. įsigijimo sandorius. „Gijos“ veikia ir Vilniuje ir Klaipėdoje.</t>
        </is>
      </c>
      <c r="G37" s="2" t="n">
        <v>1048872</v>
      </c>
      <c r="H37" s="2" t="n"/>
      <c r="I37" s="2" t="n"/>
      <c r="J37" s="2" t="n"/>
      <c r="K37" s="2" t="n"/>
      <c r="L37" s="2" t="inlineStr"/>
      <c r="M37" s="2" t="inlineStr"/>
      <c r="N37" s="2" t="inlineStr">
        <is>
          <t>Lithuania</t>
        </is>
      </c>
      <c r="O37" s="7" t="n">
        <v>9702.07</v>
      </c>
      <c r="P37" s="2" t="n">
        <v>70</v>
      </c>
      <c r="Q37" s="2" t="n"/>
    </row>
    <row r="38">
      <c r="A38" s="2" t="inlineStr">
        <is>
          <t>Vilniaus šilumos tinklai pakeitė pavadinimą į „Miesto gijos“</t>
        </is>
      </c>
      <c r="B38" s="2">
        <f>HYPERLINK("https://www.lrt.lt/naujienos/verslas/4/2630099/vilniaus-silumos-tinklai-pakeite-pavadinima-i-miesto-gijos")</f>
        <v/>
      </c>
      <c r="C38" s="2" t="inlineStr"/>
      <c r="D38" s="2" t="inlineStr">
        <is>
          <t>Lithuanian National Radio and Television (LRT)</t>
        </is>
      </c>
      <c r="E38" s="8" t="n">
        <v>45870.13792824074</v>
      </c>
      <c r="F38" s="2" t="inlineStr">
        <is>
          <t>BNS
 2025.08.01 10:09
00:00
 |
00:00
 Didžiausia Lietuvoje centralizuotos šilumos tiekimo įmonė Vilniaus šilumos tinklai (VŠT) pakeitė pavadinimą į „Miesto gijos“.</t>
        </is>
      </c>
      <c r="G38" s="2" t="n">
        <v>1580314</v>
      </c>
      <c r="H38" s="2" t="n"/>
      <c r="I38" s="2" t="n"/>
      <c r="J38" s="2" t="n"/>
      <c r="K38" s="2" t="n"/>
      <c r="L38" s="2" t="inlineStr">
        <is>
          <t>Vilnius</t>
        </is>
      </c>
      <c r="M38" s="2" t="inlineStr">
        <is>
          <t>Vilniaus Apskritis</t>
        </is>
      </c>
      <c r="N38" s="2" t="inlineStr">
        <is>
          <t>Lithuania</t>
        </is>
      </c>
      <c r="O38" s="7" t="n">
        <v>14617.9</v>
      </c>
      <c r="P38" s="2" t="n">
        <v>68</v>
      </c>
      <c r="Q38" s="2" t="n"/>
    </row>
    <row r="39">
      <c r="A39" s="2" t="inlineStr">
        <is>
          <t>Vilniaus šilumos tinklai keičia vardą: nuo šiol veiks su prekės ženklu „Gijos“</t>
        </is>
      </c>
      <c r="B39" s="2">
        <f>HYPERLINK("https://www.delfi.lt/m360/naujausi-straipsniai/vilniaus-silumos-tinklai-keicia-varda-nuo-siol-veiks-su-prekes-zenklu-gijos-120131953")</f>
        <v/>
      </c>
      <c r="C39" s="2" t="inlineStr"/>
      <c r="D39" s="2" t="inlineStr">
        <is>
          <t>DELFI Lithuania</t>
        </is>
      </c>
      <c r="E39" s="8" t="n">
        <v>45870.12741898148</v>
      </c>
      <c r="F39" s="2" t="inlineStr">
        <is>
          <t>Per pastaruosius metus „Gijos“ išplėtė savo veiklos spektrą, iš centralizuotos šilumos tiekėjo tapo energetikos įmonių grupe. 2024 metais įmonė baigė UAB „Miesto energija“ ir UAB „Pramonės energija“ 100 proc. įsigijimo sandorius ir AB „Klaipėdos energija“ (4,34 proc.).</t>
        </is>
      </c>
      <c r="G39" s="2" t="n">
        <v>1849147</v>
      </c>
      <c r="H39" s="2" t="n"/>
      <c r="I39" s="2" t="n"/>
      <c r="J39" s="2" t="n"/>
      <c r="K39" s="2" t="n"/>
      <c r="L39" s="2" t="inlineStr">
        <is>
          <t>Vilnius</t>
        </is>
      </c>
      <c r="M39" s="2" t="inlineStr"/>
      <c r="N39" s="2" t="inlineStr">
        <is>
          <t>Lithuania</t>
        </is>
      </c>
      <c r="O39" s="7" t="n">
        <v>9245.74</v>
      </c>
      <c r="P39" s="2" t="n">
        <v>81</v>
      </c>
      <c r="Q39" s="2" t="n"/>
    </row>
    <row r="40">
      <c r="A40" s="2" t="inlineStr">
        <is>
          <t>Vilniaus šilumos tinklai turi naują vardą</t>
        </is>
      </c>
      <c r="B40" s="2">
        <f>HYPERLINK("https://www.15min.lt/verslas/naujiena/bendroves/vilniaus-silumos-tinklai-turi-nauja-varda-663-2498972")</f>
        <v/>
      </c>
      <c r="C40" s="2" t="inlineStr"/>
      <c r="D40" s="2" t="inlineStr">
        <is>
          <t>15min</t>
        </is>
      </c>
      <c r="E40" s="8" t="n">
        <v>45870.12628472222</v>
      </c>
      <c r="F40" s="2" t="inlineStr">
        <is>
          <t>Per pastaruosius metus „Gijos“ išplėtė savo veiklos spektrą, iš centralizuotos šilumos tiekėjo tapo energetikos įmonių grupe. 2024 metais įmonė baigė UAB „Miesto energija“ ir UAB „Pramonės energija“ 100 proc. įsigijimo sandorius ir AB „Klaipėdos energija“ (4,34 proc.).</t>
        </is>
      </c>
      <c r="G40" s="2" t="n">
        <v>1435066</v>
      </c>
      <c r="H40" s="2" t="n">
        <v>0</v>
      </c>
      <c r="I40" s="2" t="n">
        <v>0</v>
      </c>
      <c r="J40" s="2" t="n">
        <v>0</v>
      </c>
      <c r="K40" s="2" t="n"/>
      <c r="L40" s="2" t="inlineStr">
        <is>
          <t>Vilnius</t>
        </is>
      </c>
      <c r="M40" s="2" t="inlineStr">
        <is>
          <t>Vilniaus Apskritis</t>
        </is>
      </c>
      <c r="N40" s="2" t="inlineStr">
        <is>
          <t>Lithuania</t>
        </is>
      </c>
      <c r="O40" s="7" t="n">
        <v>13274.36</v>
      </c>
      <c r="P40" s="2" t="n">
        <v>73</v>
      </c>
      <c r="Q4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2025-11-19T07:54:12Z</dcterms:created>
  <dcterms:modified xmlns:dcterms="http://purl.org/dc/terms/" xmlns:xsi="http://www.w3.org/2001/XMLSchema-instance" xsi:type="dcterms:W3CDTF">2025-11-19T07:54:12Z</dcterms:modified>
</cp:coreProperties>
</file>